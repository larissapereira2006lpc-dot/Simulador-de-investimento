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b02106df7c8646/Área de Trabalho/"/>
    </mc:Choice>
  </mc:AlternateContent>
  <xr:revisionPtr revIDLastSave="280" documentId="8_{094F4F4E-A1C5-4FFD-B15E-8FD9BDB1F041}" xr6:coauthVersionLast="47" xr6:coauthVersionMax="47" xr10:uidLastSave="{E8206903-15A4-4D7E-BF58-5D240E21E114}"/>
  <bookViews>
    <workbookView xWindow="-120" yWindow="-120" windowWidth="20640" windowHeight="11040" xr2:uid="{8606F40A-4A58-44C0-BBAE-0A192D07BD20}"/>
  </bookViews>
  <sheets>
    <sheet name="Planilha1" sheetId="1" r:id="rId1"/>
    <sheet name="Planilha2" sheetId="2" r:id="rId2"/>
  </sheets>
  <definedNames>
    <definedName name="Aporte">Planilha1!$D$15</definedName>
    <definedName name="_xlnm.Print_Area" localSheetId="0">Planilha1!$A$1:$AJ$43</definedName>
    <definedName name="Patrimonio">Planilha1!$D$18</definedName>
    <definedName name="Qtd_Anos">Planilha1!$D$16</definedName>
    <definedName name="rendimento_carteira">Planilha1!$D$11</definedName>
    <definedName name="Sugestão_investimento">Planilha1!$D$12</definedName>
    <definedName name="Taxa_Mensal">Planilha1!$D$17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C35" i="1"/>
  <c r="C36" i="1"/>
  <c r="C37" i="1"/>
  <c r="C38" i="1"/>
  <c r="C33" i="1"/>
  <c r="G2" i="2"/>
  <c r="A9" i="2"/>
  <c r="A10" i="2"/>
  <c r="A11" i="2"/>
  <c r="A12" i="2"/>
  <c r="A13" i="2"/>
  <c r="A14" i="2"/>
  <c r="A15" i="2"/>
  <c r="A16" i="2"/>
  <c r="A17" i="2"/>
  <c r="A18" i="2"/>
  <c r="A19" i="2"/>
  <c r="A8" i="2"/>
  <c r="A7" i="2"/>
  <c r="A3" i="2"/>
  <c r="A4" i="2"/>
  <c r="A5" i="2"/>
  <c r="A6" i="2"/>
  <c r="A2" i="2"/>
  <c r="C30" i="1"/>
  <c r="D34" i="1" s="1"/>
  <c r="D18" i="1"/>
  <c r="D19" i="1" s="1"/>
  <c r="D12" i="1"/>
  <c r="C22" i="1"/>
  <c r="D22" i="1" s="1"/>
  <c r="C23" i="1"/>
  <c r="D23" i="1" s="1"/>
  <c r="C24" i="1"/>
  <c r="D24" i="1" s="1"/>
  <c r="C25" i="1"/>
  <c r="D25" i="1" s="1"/>
  <c r="C26" i="1"/>
  <c r="D26" i="1" s="1"/>
  <c r="D35" i="1" l="1"/>
  <c r="D36" i="1"/>
  <c r="D37" i="1"/>
  <c r="D33" i="1"/>
  <c r="D39" i="1" s="1"/>
  <c r="D38" i="1"/>
</calcChain>
</file>

<file path=xl/sharedStrings.xml><?xml version="1.0" encoding="utf-8"?>
<sst xmlns="http://schemas.openxmlformats.org/spreadsheetml/2006/main" count="71" uniqueCount="35">
  <si>
    <t>Por quantos anos ?</t>
  </si>
  <si>
    <t>Quanto investir por mês ?</t>
  </si>
  <si>
    <t>Taxa de rendimento mensal ?</t>
  </si>
  <si>
    <t>Patrimônio acumulado 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</si>
  <si>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</si>
  <si>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</si>
  <si>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</si>
  <si>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</si>
  <si>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</si>
  <si>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</si>
  <si>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</si>
  <si>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</si>
  <si>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</si>
  <si>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</si>
  <si>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Rendimento Carteira</t>
  </si>
  <si>
    <t>Salário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</si>
  <si>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</si>
  <si>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</si>
  <si>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</si>
  <si>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</si>
  <si>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</si>
  <si>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</si>
  <si>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</si>
  <si>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</si>
  <si>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</si>
  <si>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</si>
  <si>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</si>
  <si>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</si>
  <si>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TOTAL</t>
  </si>
  <si>
    <t>Conservador</t>
  </si>
  <si>
    <t>%</t>
  </si>
  <si>
    <t>CHAVE</t>
  </si>
  <si>
    <t>Moderado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</si>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</sst>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7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b/>
      <sz val="1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/>
    </xf>
    <xf numFmtId="0" fontId="3" fillId="5" borderId="0" xfId="0" applyFont="1" applyFill="1"/>
    <xf numFmtId="9" fontId="0" fillId="0" borderId="0" xfId="0" applyNumberFormat="1" applyAlignment="1">
      <alignment horizont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6" borderId="2" xfId="0" applyNumberFormat="1" applyFont="1" applyFill="1" applyBorder="1" applyAlignment="1">
      <alignment horizontal="center" vertical="center"/>
    </xf>
    <xf numFmtId="167" fontId="4" fillId="0" borderId="4" xfId="0" applyNumberFormat="1" applyFont="1" applyBorder="1" applyAlignment="1">
      <alignment horizontal="center"/>
    </xf>
    <xf numFmtId="10" fontId="4" fillId="0" borderId="6" xfId="0" applyNumberFormat="1" applyFont="1" applyBorder="1" applyAlignment="1">
      <alignment horizontal="center"/>
    </xf>
    <xf numFmtId="167" fontId="7" fillId="0" borderId="4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0" fontId="7" fillId="0" borderId="6" xfId="1" applyNumberFormat="1" applyFont="1" applyBorder="1" applyAlignment="1">
      <alignment horizontal="center"/>
    </xf>
    <xf numFmtId="167" fontId="4" fillId="6" borderId="4" xfId="0" applyNumberFormat="1" applyFont="1" applyFill="1" applyBorder="1" applyAlignment="1">
      <alignment horizontal="center" vertical="center"/>
    </xf>
    <xf numFmtId="167" fontId="4" fillId="6" borderId="6" xfId="0" applyNumberFormat="1" applyFont="1" applyFill="1" applyBorder="1" applyAlignment="1">
      <alignment horizontal="center" vertical="center"/>
    </xf>
    <xf numFmtId="167" fontId="4" fillId="6" borderId="8" xfId="0" applyNumberFormat="1" applyFont="1" applyFill="1" applyBorder="1" applyAlignment="1">
      <alignment horizontal="center" vertical="center"/>
    </xf>
    <xf numFmtId="167" fontId="4" fillId="6" borderId="9" xfId="0" applyNumberFormat="1" applyFont="1" applyFill="1" applyBorder="1" applyAlignment="1">
      <alignment horizontal="center" vertical="center"/>
    </xf>
    <xf numFmtId="8" fontId="7" fillId="6" borderId="6" xfId="0" applyNumberFormat="1" applyFont="1" applyFill="1" applyBorder="1" applyAlignment="1">
      <alignment horizontal="center"/>
    </xf>
    <xf numFmtId="8" fontId="7" fillId="6" borderId="9" xfId="0" applyNumberFormat="1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indent="2"/>
    </xf>
    <xf numFmtId="0" fontId="4" fillId="6" borderId="1" xfId="0" applyFont="1" applyFill="1" applyBorder="1" applyAlignment="1">
      <alignment horizontal="left" indent="2"/>
    </xf>
    <xf numFmtId="0" fontId="4" fillId="6" borderId="5" xfId="0" applyFont="1" applyFill="1" applyBorder="1" applyAlignment="1">
      <alignment horizontal="left" indent="2"/>
    </xf>
    <xf numFmtId="0" fontId="4" fillId="6" borderId="2" xfId="0" applyFont="1" applyFill="1" applyBorder="1" applyAlignment="1">
      <alignment horizontal="left" indent="2"/>
    </xf>
    <xf numFmtId="0" fontId="4" fillId="6" borderId="7" xfId="0" applyFont="1" applyFill="1" applyBorder="1" applyAlignment="1">
      <alignment horizontal="left" indent="2"/>
    </xf>
    <xf numFmtId="0" fontId="4" fillId="6" borderId="8" xfId="0" applyFont="1" applyFill="1" applyBorder="1" applyAlignment="1">
      <alignment horizontal="left" indent="2"/>
    </xf>
    <xf numFmtId="0" fontId="5" fillId="0" borderId="3" xfId="0" applyFont="1" applyBorder="1" applyAlignment="1">
      <alignment horizontal="left" indent="2"/>
    </xf>
    <xf numFmtId="0" fontId="5" fillId="0" borderId="1" xfId="0" applyFont="1" applyBorder="1" applyAlignment="1">
      <alignment horizontal="left" indent="2"/>
    </xf>
    <xf numFmtId="0" fontId="5" fillId="0" borderId="5" xfId="0" applyFont="1" applyBorder="1" applyAlignment="1">
      <alignment horizontal="left" indent="2"/>
    </xf>
    <xf numFmtId="0" fontId="5" fillId="0" borderId="2" xfId="0" applyFont="1" applyBorder="1" applyAlignment="1">
      <alignment horizontal="left" indent="2"/>
    </xf>
    <xf numFmtId="0" fontId="6" fillId="6" borderId="5" xfId="0" applyFont="1" applyFill="1" applyBorder="1" applyAlignment="1">
      <alignment horizontal="left" indent="2"/>
    </xf>
    <xf numFmtId="0" fontId="6" fillId="6" borderId="2" xfId="0" applyFont="1" applyFill="1" applyBorder="1" applyAlignment="1">
      <alignment horizontal="left" indent="2"/>
    </xf>
    <xf numFmtId="0" fontId="6" fillId="6" borderId="7" xfId="0" applyFont="1" applyFill="1" applyBorder="1" applyAlignment="1">
      <alignment horizontal="left" indent="2"/>
    </xf>
    <xf numFmtId="0" fontId="6" fillId="6" borderId="8" xfId="0" applyFont="1" applyFill="1" applyBorder="1" applyAlignment="1">
      <alignment horizontal="left" indent="2"/>
    </xf>
    <xf numFmtId="0" fontId="4" fillId="6" borderId="3" xfId="0" applyFont="1" applyFill="1" applyBorder="1" applyAlignment="1">
      <alignment horizontal="left" vertical="center" indent="2"/>
    </xf>
    <xf numFmtId="0" fontId="4" fillId="6" borderId="5" xfId="0" applyFont="1" applyFill="1" applyBorder="1" applyAlignment="1">
      <alignment horizontal="left" vertical="center" indent="2"/>
    </xf>
    <xf numFmtId="0" fontId="4" fillId="6" borderId="7" xfId="0" applyFont="1" applyFill="1" applyBorder="1" applyAlignment="1">
      <alignment horizontal="left" vertical="center" indent="2"/>
    </xf>
    <xf numFmtId="167" fontId="4" fillId="6" borderId="9" xfId="0" applyNumberFormat="1" applyFont="1" applyFill="1" applyBorder="1" applyAlignment="1">
      <alignment horizontal="center"/>
    </xf>
    <xf numFmtId="0" fontId="3" fillId="2" borderId="0" xfId="2" applyBorder="1" applyAlignment="1">
      <alignment horizontal="left" vertical="center" indent="2"/>
    </xf>
    <xf numFmtId="0" fontId="3" fillId="2" borderId="0" xfId="2"/>
    <xf numFmtId="0" fontId="0" fillId="4" borderId="0" xfId="0" applyFill="1"/>
    <xf numFmtId="0" fontId="0" fillId="4" borderId="0" xfId="0" applyFill="1" applyAlignment="1">
      <alignment horizontal="center"/>
    </xf>
    <xf numFmtId="167" fontId="0" fillId="4" borderId="0" xfId="0" applyNumberFormat="1" applyFill="1" applyAlignment="1">
      <alignment horizontal="center"/>
    </xf>
    <xf numFmtId="0" fontId="3" fillId="2" borderId="0" xfId="2" applyAlignment="1">
      <alignment horizontal="center"/>
    </xf>
    <xf numFmtId="0" fontId="2" fillId="0" borderId="0" xfId="0" applyFont="1" applyAlignment="1">
      <alignment horizontal="center"/>
    </xf>
    <xf numFmtId="167" fontId="0" fillId="0" borderId="0" xfId="0" applyNumberFormat="1"/>
    <xf numFmtId="167" fontId="0" fillId="4" borderId="0" xfId="0" applyNumberFormat="1" applyFill="1"/>
    <xf numFmtId="0" fontId="0" fillId="0" borderId="13" xfId="0" applyBorder="1"/>
    <xf numFmtId="0" fontId="0" fillId="0" borderId="13" xfId="0" applyBorder="1" applyAlignment="1">
      <alignment horizontal="center"/>
    </xf>
    <xf numFmtId="9" fontId="0" fillId="0" borderId="13" xfId="0" applyNumberFormat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9" fontId="0" fillId="0" borderId="14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9" fontId="0" fillId="0" borderId="0" xfId="1" applyFont="1"/>
    <xf numFmtId="0" fontId="9" fillId="0" borderId="0" xfId="0" applyFont="1"/>
  </cellXfs>
  <cellStyles count="3">
    <cellStyle name="Ênfase1" xfId="2" builtinId="29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Planilha1!$C$32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Planilha1!$C$33:$C$38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D-441C-A3BB-7A86EC360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208682</xdr:colOff>
      <xdr:row>0</xdr:row>
      <xdr:rowOff>105641</xdr:rowOff>
    </xdr:from>
    <xdr:to>
      <xdr:col>16384</xdr:col>
      <xdr:colOff>533400</xdr:colOff>
      <xdr:row>7</xdr:row>
      <xdr:rowOff>169484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5F926FD-44C8-46CA-BCC2-0BC8D3BA29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07" t="32292" r="8198" b="35938"/>
        <a:stretch>
          <a:fillRect/>
        </a:stretch>
      </xdr:blipFill>
      <xdr:spPr>
        <a:xfrm>
          <a:off x="208682" y="105641"/>
          <a:ext cx="7249393" cy="1397343"/>
        </a:xfrm>
        <a:prstGeom prst="rect">
          <a:avLst/>
        </a:prstGeom>
      </xdr:spPr>
    </xdr:pic>
    <xdr:clientData/>
  </xdr:twoCellAnchor>
  <xdr:twoCellAnchor>
    <xdr:from>
      <xdr:col>1</xdr:col>
      <xdr:colOff>495300</xdr:colOff>
      <xdr:row>43</xdr:row>
      <xdr:rowOff>176212</xdr:rowOff>
    </xdr:from>
    <xdr:to>
      <xdr:col>2</xdr:col>
      <xdr:colOff>2314575</xdr:colOff>
      <xdr:row>58</xdr:row>
      <xdr:rowOff>61912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F3C39FB-AC15-03E5-8598-06A7C4651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8588C-84F7-449D-97CE-F6A3BA66BAA2}">
  <dimension ref="A8:G49"/>
  <sheetViews>
    <sheetView showGridLines="0" tabSelected="1" topLeftCell="A39" zoomScaleNormal="100" workbookViewId="0">
      <selection activeCell="E49" sqref="E49"/>
    </sheetView>
  </sheetViews>
  <sheetFormatPr defaultColWidth="0" defaultRowHeight="15" x14ac:dyDescent="0.25"/>
  <cols>
    <col min="1" max="1" width="3.28515625" style="2" customWidth="1"/>
    <col min="2" max="2" width="41.28515625" customWidth="1"/>
    <col min="3" max="3" width="37" customWidth="1"/>
    <col min="4" max="4" width="14.28515625" bestFit="1" customWidth="1"/>
    <col min="5" max="5" width="6.140625" customWidth="1"/>
    <col min="6" max="7" width="2.42578125" hidden="1" customWidth="1"/>
    <col min="8" max="16383" width="9.140625" hidden="1"/>
    <col min="16384" max="16384" width="9.140625" hidden="1" customWidth="1"/>
  </cols>
  <sheetData>
    <row r="8" spans="2:4" ht="15.75" thickBot="1" x14ac:dyDescent="0.3"/>
    <row r="9" spans="2:4" ht="29.25" thickBot="1" x14ac:dyDescent="0.3">
      <c r="B9" s="17" t="s">
        <v>13</v>
      </c>
      <c r="C9" s="18"/>
      <c r="D9" s="19"/>
    </row>
    <row r="10" spans="2:4" ht="15.75" x14ac:dyDescent="0.25">
      <c r="B10" s="26" t="s">
        <v>15</v>
      </c>
      <c r="C10" s="27"/>
      <c r="D10" s="6">
        <v>5000</v>
      </c>
    </row>
    <row r="11" spans="2:4" ht="15.75" x14ac:dyDescent="0.25">
      <c r="B11" s="28" t="s">
        <v>14</v>
      </c>
      <c r="C11" s="29"/>
      <c r="D11" s="7">
        <v>6.0000000000000001E-3</v>
      </c>
    </row>
    <row r="12" spans="2:4" ht="16.5" thickBot="1" x14ac:dyDescent="0.3">
      <c r="B12" s="30" t="s">
        <v>34</v>
      </c>
      <c r="C12" s="31"/>
      <c r="D12" s="43">
        <f>D10*30%</f>
        <v>1500</v>
      </c>
    </row>
    <row r="13" spans="2:4" ht="15.75" thickBot="1" x14ac:dyDescent="0.3"/>
    <row r="14" spans="2:4" ht="42" customHeight="1" thickBot="1" x14ac:dyDescent="0.3">
      <c r="B14" s="20" t="s">
        <v>5</v>
      </c>
      <c r="C14" s="21"/>
      <c r="D14" s="22"/>
    </row>
    <row r="15" spans="2:4" ht="15.75" x14ac:dyDescent="0.25">
      <c r="B15" s="32" t="s">
        <v>1</v>
      </c>
      <c r="C15" s="33"/>
      <c r="D15" s="8">
        <v>200</v>
      </c>
    </row>
    <row r="16" spans="2:4" ht="15.75" x14ac:dyDescent="0.25">
      <c r="B16" s="34" t="s">
        <v>0</v>
      </c>
      <c r="C16" s="35"/>
      <c r="D16" s="9">
        <v>5</v>
      </c>
    </row>
    <row r="17" spans="1:4" ht="15.75" x14ac:dyDescent="0.25">
      <c r="B17" s="34" t="s">
        <v>2</v>
      </c>
      <c r="C17" s="35"/>
      <c r="D17" s="10">
        <v>1.0789999999999999E-2</v>
      </c>
    </row>
    <row r="18" spans="1:4" ht="15.75" x14ac:dyDescent="0.25">
      <c r="B18" s="36" t="s">
        <v>3</v>
      </c>
      <c r="C18" s="37"/>
      <c r="D18" s="15">
        <f>FV(Taxa_Mensal,Qtd_Anos*12,Aporte*-1)</f>
        <v>16755.382799697527</v>
      </c>
    </row>
    <row r="19" spans="1:4" ht="16.5" thickBot="1" x14ac:dyDescent="0.3">
      <c r="B19" s="38" t="s">
        <v>4</v>
      </c>
      <c r="C19" s="39"/>
      <c r="D19" s="16">
        <f>Patrimonio*rendimento_carteira</f>
        <v>100.53229679818516</v>
      </c>
    </row>
    <row r="20" spans="1:4" ht="15.75" thickBot="1" x14ac:dyDescent="0.3"/>
    <row r="21" spans="1:4" ht="29.25" thickBot="1" x14ac:dyDescent="0.3">
      <c r="B21" s="23" t="s">
        <v>11</v>
      </c>
      <c r="C21" s="24"/>
      <c r="D21" s="25" t="s">
        <v>12</v>
      </c>
    </row>
    <row r="22" spans="1:4" ht="15.75" x14ac:dyDescent="0.25">
      <c r="A22" s="2">
        <v>2</v>
      </c>
      <c r="B22" s="40" t="s">
        <v>6</v>
      </c>
      <c r="C22" s="4">
        <f>FV($D$17,$A22*12,$D$15*-1)</f>
        <v>5445.5254595290435</v>
      </c>
      <c r="D22" s="11">
        <f>$C22*rendimento_carteira</f>
        <v>32.673152757174265</v>
      </c>
    </row>
    <row r="23" spans="1:4" ht="15.75" x14ac:dyDescent="0.25">
      <c r="A23" s="2">
        <v>5</v>
      </c>
      <c r="B23" s="41" t="s">
        <v>7</v>
      </c>
      <c r="C23" s="5">
        <f>FV($D$17,$A23*12,$D$15*-1)</f>
        <v>16755.382799697527</v>
      </c>
      <c r="D23" s="12">
        <f>$C23*rendimento_carteira</f>
        <v>100.53229679818516</v>
      </c>
    </row>
    <row r="24" spans="1:4" ht="15.75" x14ac:dyDescent="0.25">
      <c r="A24" s="2">
        <v>10</v>
      </c>
      <c r="B24" s="41" t="s">
        <v>8</v>
      </c>
      <c r="C24" s="5">
        <f>FV($D$17,$A24*12,$D$15*-1)</f>
        <v>48656.842506034438</v>
      </c>
      <c r="D24" s="12">
        <f>$C24*rendimento_carteira</f>
        <v>291.94105503620665</v>
      </c>
    </row>
    <row r="25" spans="1:4" ht="15.75" x14ac:dyDescent="0.25">
      <c r="A25" s="2">
        <v>20</v>
      </c>
      <c r="B25" s="41" t="s">
        <v>9</v>
      </c>
      <c r="C25" s="5">
        <f>FV($D$17,$A25*12,$D$15*-1)</f>
        <v>225039.68001941612</v>
      </c>
      <c r="D25" s="12">
        <f>$C25*rendimento_carteira</f>
        <v>1350.2380801164968</v>
      </c>
    </row>
    <row r="26" spans="1:4" ht="16.5" thickBot="1" x14ac:dyDescent="0.3">
      <c r="A26" s="2">
        <v>30</v>
      </c>
      <c r="B26" s="42" t="s">
        <v>10</v>
      </c>
      <c r="C26" s="13">
        <f>FV($D$17,$A26*12,$D$15*-1)</f>
        <v>864433.93100094295</v>
      </c>
      <c r="D26" s="14">
        <f>$C26*rendimento_carteira</f>
        <v>5186.6035860056581</v>
      </c>
    </row>
    <row r="29" spans="1:4" x14ac:dyDescent="0.25">
      <c r="B29" s="44" t="s">
        <v>18</v>
      </c>
      <c r="C29" s="49" t="s">
        <v>32</v>
      </c>
      <c r="D29" s="45"/>
    </row>
    <row r="30" spans="1:4" x14ac:dyDescent="0.25">
      <c r="B30" s="46" t="s">
        <v>17</v>
      </c>
      <c r="C30" s="48">
        <f>Aporte</f>
        <v>200</v>
      </c>
      <c r="D30" s="46"/>
    </row>
    <row r="32" spans="1:4" x14ac:dyDescent="0.25">
      <c r="B32" s="50" t="s">
        <v>19</v>
      </c>
      <c r="C32" s="50" t="s">
        <v>20</v>
      </c>
      <c r="D32" s="50" t="s">
        <v>21</v>
      </c>
    </row>
    <row r="33" spans="2:4" x14ac:dyDescent="0.25">
      <c r="B33" s="1" t="s">
        <v>22</v>
      </c>
      <c r="C33" s="3">
        <f>VLOOKUP($C$29&amp;"-"&amp;B33,Planilha2!$A:$D,4,0)</f>
        <v>0.32</v>
      </c>
      <c r="D33" s="51">
        <f>C33*$C$30</f>
        <v>64</v>
      </c>
    </row>
    <row r="34" spans="2:4" x14ac:dyDescent="0.25">
      <c r="B34" s="1" t="s">
        <v>23</v>
      </c>
      <c r="C34" s="3">
        <f>VLOOKUP($C$29&amp;"-"&amp;B34,Planilha2!$A:$D,4,0)</f>
        <v>0.35</v>
      </c>
      <c r="D34" s="51">
        <f>C34*$C$30</f>
        <v>70</v>
      </c>
    </row>
    <row r="35" spans="2:4" x14ac:dyDescent="0.25">
      <c r="B35" s="1" t="s">
        <v>24</v>
      </c>
      <c r="C35" s="3">
        <f>VLOOKUP($C$29&amp;"-"&amp;B35,Planilha2!$A:$D,4,0)</f>
        <v>0.08</v>
      </c>
      <c r="D35" s="51">
        <f t="shared" ref="D34:D38" si="0">C35*$C$30</f>
        <v>16</v>
      </c>
    </row>
    <row r="36" spans="2:4" x14ac:dyDescent="0.25">
      <c r="B36" s="1" t="s">
        <v>25</v>
      </c>
      <c r="C36" s="3">
        <f>VLOOKUP($C$29&amp;"-"&amp;B36,Planilha2!$A:$D,4,0)</f>
        <v>0.05</v>
      </c>
      <c r="D36" s="51">
        <f t="shared" si="0"/>
        <v>10</v>
      </c>
    </row>
    <row r="37" spans="2:4" x14ac:dyDescent="0.25">
      <c r="B37" s="1" t="s">
        <v>26</v>
      </c>
      <c r="C37" s="3">
        <f>VLOOKUP($C$29&amp;"-"&amp;B37,Planilha2!$A:$D,4,0)</f>
        <v>0.1</v>
      </c>
      <c r="D37" s="51">
        <f t="shared" si="0"/>
        <v>20</v>
      </c>
    </row>
    <row r="38" spans="2:4" x14ac:dyDescent="0.25">
      <c r="B38" s="1" t="s">
        <v>27</v>
      </c>
      <c r="C38" s="3">
        <f>VLOOKUP($C$29&amp;"-"&amp;B38,Planilha2!$A:$D,4,0)</f>
        <v>0.1</v>
      </c>
      <c r="D38" s="51">
        <f t="shared" si="0"/>
        <v>20</v>
      </c>
    </row>
    <row r="39" spans="2:4" x14ac:dyDescent="0.25">
      <c r="B39" s="47" t="s">
        <v>28</v>
      </c>
      <c r="C39" s="47"/>
      <c r="D39" s="52">
        <f>SUM(D33:D38)</f>
        <v>200</v>
      </c>
    </row>
    <row r="49" spans="5:5" x14ac:dyDescent="0.25">
      <c r="E49" s="64"/>
    </row>
  </sheetData>
  <mergeCells count="11">
    <mergeCell ref="B19:C19"/>
    <mergeCell ref="B14:D14"/>
    <mergeCell ref="B9:D9"/>
    <mergeCell ref="B10:C10"/>
    <mergeCell ref="B11:C11"/>
    <mergeCell ref="B12:C12"/>
    <mergeCell ref="B21:C21"/>
    <mergeCell ref="B15:C15"/>
    <mergeCell ref="B16:C16"/>
    <mergeCell ref="B17:C17"/>
    <mergeCell ref="B18:C18"/>
  </mergeCells>
  <dataValidations count="1">
    <dataValidation type="list" allowBlank="1" showInputMessage="1" showErrorMessage="1" sqref="C29" xr:uid="{BF2D6D98-4B1B-4AB9-8D44-838D2B8BCDC9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scale="2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E46BE-C4DF-4CF1-B09A-43F3B2912367}">
  <dimension ref="A1:G19"/>
  <sheetViews>
    <sheetView workbookViewId="0">
      <selection activeCell="D8" sqref="D8:D13"/>
    </sheetView>
  </sheetViews>
  <sheetFormatPr defaultRowHeight="15" x14ac:dyDescent="0.25"/>
  <cols>
    <col min="1" max="1" width="18.140625" bestFit="1" customWidth="1"/>
    <col min="2" max="2" width="12.140625" bestFit="1" customWidth="1"/>
    <col min="3" max="3" width="16.140625" bestFit="1" customWidth="1"/>
    <col min="6" max="6" width="15.85546875" bestFit="1" customWidth="1"/>
    <col min="7" max="7" width="7.85546875" customWidth="1"/>
  </cols>
  <sheetData>
    <row r="1" spans="1:7" x14ac:dyDescent="0.25">
      <c r="A1" t="s">
        <v>31</v>
      </c>
      <c r="B1" s="1" t="s">
        <v>18</v>
      </c>
      <c r="C1" s="50" t="s">
        <v>19</v>
      </c>
      <c r="D1" s="1" t="s">
        <v>30</v>
      </c>
    </row>
    <row r="2" spans="1:7" x14ac:dyDescent="0.25">
      <c r="A2" t="str">
        <f>$B$2&amp;"-"&amp;C2</f>
        <v>Conservador-Papel</v>
      </c>
      <c r="B2" t="s">
        <v>29</v>
      </c>
      <c r="C2" s="1" t="s">
        <v>22</v>
      </c>
      <c r="D2" s="3">
        <v>0.5</v>
      </c>
      <c r="F2" t="s">
        <v>33</v>
      </c>
      <c r="G2" s="63">
        <f>VLOOKUP(F2,$A:$D,4,0)</f>
        <v>0.35</v>
      </c>
    </row>
    <row r="3" spans="1:7" x14ac:dyDescent="0.25">
      <c r="A3" t="str">
        <f t="shared" ref="A3:A19" si="0">$B$2&amp;"-"&amp;C3</f>
        <v>Conservador-Tijolo</v>
      </c>
      <c r="B3" t="s">
        <v>29</v>
      </c>
      <c r="C3" s="1" t="s">
        <v>23</v>
      </c>
      <c r="D3" s="3">
        <v>0.3</v>
      </c>
    </row>
    <row r="4" spans="1:7" x14ac:dyDescent="0.25">
      <c r="A4" t="str">
        <f t="shared" si="0"/>
        <v>Conservador-Híbridos</v>
      </c>
      <c r="B4" t="s">
        <v>29</v>
      </c>
      <c r="C4" s="1" t="s">
        <v>24</v>
      </c>
      <c r="D4" s="3">
        <v>0.1</v>
      </c>
    </row>
    <row r="5" spans="1:7" x14ac:dyDescent="0.25">
      <c r="A5" t="str">
        <f t="shared" si="0"/>
        <v>Conservador-FOFs</v>
      </c>
      <c r="B5" t="s">
        <v>29</v>
      </c>
      <c r="C5" s="1" t="s">
        <v>25</v>
      </c>
      <c r="D5" s="3">
        <v>0.1</v>
      </c>
    </row>
    <row r="6" spans="1:7" x14ac:dyDescent="0.25">
      <c r="A6" t="str">
        <f t="shared" si="0"/>
        <v>Conservador-Desenvolvimento</v>
      </c>
      <c r="B6" t="s">
        <v>29</v>
      </c>
      <c r="C6" s="1" t="s">
        <v>26</v>
      </c>
      <c r="D6" s="3">
        <v>0</v>
      </c>
    </row>
    <row r="7" spans="1:7" x14ac:dyDescent="0.25">
      <c r="A7" s="53" t="str">
        <f>B2&amp;"-"&amp;C7</f>
        <v>Conservador-Hotelarias</v>
      </c>
      <c r="B7" s="53" t="s">
        <v>29</v>
      </c>
      <c r="C7" s="54" t="s">
        <v>27</v>
      </c>
      <c r="D7" s="55">
        <v>0</v>
      </c>
    </row>
    <row r="8" spans="1:7" x14ac:dyDescent="0.25">
      <c r="A8" s="56" t="str">
        <f>B8&amp;"-"&amp;C8</f>
        <v>Moderado-Papel</v>
      </c>
      <c r="B8" s="56" t="s">
        <v>32</v>
      </c>
      <c r="C8" s="57" t="s">
        <v>22</v>
      </c>
      <c r="D8" s="61">
        <v>0.32</v>
      </c>
    </row>
    <row r="9" spans="1:7" x14ac:dyDescent="0.25">
      <c r="A9" s="58" t="str">
        <f t="shared" ref="A9:A19" si="1">B9&amp;"-"&amp;C9</f>
        <v>Moderado-Tijolo</v>
      </c>
      <c r="B9" s="58" t="s">
        <v>32</v>
      </c>
      <c r="C9" s="59" t="s">
        <v>23</v>
      </c>
      <c r="D9" s="60">
        <v>0.35</v>
      </c>
    </row>
    <row r="10" spans="1:7" x14ac:dyDescent="0.25">
      <c r="A10" s="58" t="str">
        <f t="shared" si="1"/>
        <v>Moderado-Híbridos</v>
      </c>
      <c r="B10" s="58" t="s">
        <v>32</v>
      </c>
      <c r="C10" s="59" t="s">
        <v>24</v>
      </c>
      <c r="D10" s="62">
        <v>0.08</v>
      </c>
    </row>
    <row r="11" spans="1:7" x14ac:dyDescent="0.25">
      <c r="A11" s="58" t="str">
        <f t="shared" si="1"/>
        <v>Moderado-FOFs</v>
      </c>
      <c r="B11" s="58" t="s">
        <v>32</v>
      </c>
      <c r="C11" s="59" t="s">
        <v>25</v>
      </c>
      <c r="D11" s="62">
        <v>0.05</v>
      </c>
    </row>
    <row r="12" spans="1:7" x14ac:dyDescent="0.25">
      <c r="A12" s="58" t="str">
        <f t="shared" si="1"/>
        <v>Moderado-Desenvolvimento</v>
      </c>
      <c r="B12" s="58" t="s">
        <v>32</v>
      </c>
      <c r="C12" s="59" t="s">
        <v>26</v>
      </c>
      <c r="D12" s="62">
        <v>0.1</v>
      </c>
    </row>
    <row r="13" spans="1:7" x14ac:dyDescent="0.25">
      <c r="A13" s="53" t="str">
        <f t="shared" si="1"/>
        <v>Moderado-Hotelarias</v>
      </c>
      <c r="B13" s="53" t="s">
        <v>32</v>
      </c>
      <c r="C13" s="54" t="s">
        <v>27</v>
      </c>
      <c r="D13" s="55">
        <v>0.1</v>
      </c>
    </row>
    <row r="14" spans="1:7" x14ac:dyDescent="0.25">
      <c r="A14" t="str">
        <f t="shared" si="1"/>
        <v>Agressivo-Papel</v>
      </c>
      <c r="B14" t="s">
        <v>16</v>
      </c>
      <c r="C14" s="1" t="s">
        <v>22</v>
      </c>
      <c r="D14" s="3">
        <v>0.5</v>
      </c>
    </row>
    <row r="15" spans="1:7" x14ac:dyDescent="0.25">
      <c r="A15" t="str">
        <f t="shared" si="1"/>
        <v>Agressivo-Tijolo</v>
      </c>
      <c r="B15" t="s">
        <v>16</v>
      </c>
      <c r="C15" s="1" t="s">
        <v>23</v>
      </c>
      <c r="D15" s="3">
        <v>0.1</v>
      </c>
    </row>
    <row r="16" spans="1:7" x14ac:dyDescent="0.25">
      <c r="A16" t="str">
        <f t="shared" si="1"/>
        <v>Agressivo-Híbridos</v>
      </c>
      <c r="B16" t="s">
        <v>16</v>
      </c>
      <c r="C16" s="1" t="s">
        <v>24</v>
      </c>
      <c r="D16" s="3">
        <v>0.05</v>
      </c>
    </row>
    <row r="17" spans="1:4" x14ac:dyDescent="0.25">
      <c r="A17" t="str">
        <f t="shared" si="1"/>
        <v>Agressivo-FOFs</v>
      </c>
      <c r="B17" t="s">
        <v>16</v>
      </c>
      <c r="C17" s="1" t="s">
        <v>25</v>
      </c>
      <c r="D17" s="3">
        <v>0.05</v>
      </c>
    </row>
    <row r="18" spans="1:4" x14ac:dyDescent="0.25">
      <c r="A18" t="str">
        <f t="shared" si="1"/>
        <v>Agressivo-Desenvolvimento</v>
      </c>
      <c r="B18" t="s">
        <v>16</v>
      </c>
      <c r="C18" s="1" t="s">
        <v>26</v>
      </c>
      <c r="D18" s="3">
        <v>0.2</v>
      </c>
    </row>
    <row r="19" spans="1:4" x14ac:dyDescent="0.25">
      <c r="A19" t="str">
        <f t="shared" si="1"/>
        <v>Agressivo-Hotelarias</v>
      </c>
      <c r="B19" t="s">
        <v>16</v>
      </c>
      <c r="C19" s="1" t="s">
        <v>27</v>
      </c>
      <c r="D19" s="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Planilha1!Area_de_impressao</vt:lpstr>
      <vt:lpstr>Patrimonio</vt:lpstr>
      <vt:lpstr>Qtd_Anos</vt:lpstr>
      <vt:lpstr>rendimento_carteira</vt:lpstr>
      <vt:lpstr>Sugestão_investimento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cawa rocha</dc:creator>
  <cp:lastModifiedBy>cawa rocha</cp:lastModifiedBy>
  <dcterms:created xsi:type="dcterms:W3CDTF">2026-01-26T23:04:00Z</dcterms:created>
  <dcterms:modified xsi:type="dcterms:W3CDTF">2026-01-27T18:48:31Z</dcterms:modified>
</cp:coreProperties>
</file>